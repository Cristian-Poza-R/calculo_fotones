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poza\Documentos\Tesis\Resultados\Actinometria\2026.08.04\Calculo Fotones App\"/>
    </mc:Choice>
  </mc:AlternateContent>
  <xr:revisionPtr revIDLastSave="0" documentId="13_ncr:1_{7C9EC291-D935-42C8-ABA3-DAC365023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.08.1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E8" i="3" s="1"/>
  <c r="F8" i="3" s="1"/>
  <c r="D5" i="3"/>
  <c r="C5" i="3"/>
  <c r="E5" i="3" s="1"/>
  <c r="F5" i="3" s="1"/>
  <c r="D20" i="3"/>
  <c r="C20" i="3"/>
  <c r="D17" i="3"/>
  <c r="C17" i="3"/>
  <c r="D14" i="3"/>
  <c r="C14" i="3"/>
  <c r="D11" i="3"/>
  <c r="C11" i="3"/>
  <c r="D2" i="3"/>
  <c r="C2" i="3"/>
  <c r="E2" i="3" s="1"/>
  <c r="F2" i="3" s="1"/>
  <c r="E17" i="3" l="1"/>
  <c r="F17" i="3" s="1"/>
  <c r="E11" i="3"/>
  <c r="F11" i="3" s="1"/>
  <c r="E20" i="3"/>
  <c r="F20" i="3" s="1"/>
  <c r="E14" i="3"/>
  <c r="F14" i="3" s="1"/>
</calcChain>
</file>

<file path=xl/sharedStrings.xml><?xml version="1.0" encoding="utf-8"?>
<sst xmlns="http://schemas.openxmlformats.org/spreadsheetml/2006/main" count="19" uniqueCount="17">
  <si>
    <t>t (s)</t>
  </si>
  <si>
    <t>Promedio</t>
  </si>
  <si>
    <t>S.D.</t>
  </si>
  <si>
    <t>Abs 510 nm</t>
  </si>
  <si>
    <t>V1</t>
  </si>
  <si>
    <t>V2</t>
  </si>
  <si>
    <t>V3</t>
  </si>
  <si>
    <t>mL</t>
  </si>
  <si>
    <t xml:space="preserve">ε(510 nm) </t>
  </si>
  <si>
    <t>dm3 mol-1 cm-1</t>
  </si>
  <si>
    <t>l</t>
  </si>
  <si>
    <t>cm</t>
  </si>
  <si>
    <t>mol L-1</t>
  </si>
  <si>
    <t>moles nFe2+</t>
  </si>
  <si>
    <t>Φ(λ)</t>
  </si>
  <si>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(n,p)</t>
    </r>
  </si>
  <si>
    <t>moles teoricos Fe2+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</si>
</sst>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Abs 510 nm</a:t>
            </a:r>
          </a:p>
        </c:rich>
      </c:tx>
      <c:layout>
        <c:manualLayout>
          <c:xMode val="edge"/>
          <c:yMode val="edge"/>
          <c:x val="0.3685906598458632"/>
          <c:y val="1.58227848101265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'2026.08.12'!$A$2:$A$22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xVal>
          <c:yVal>
            <c:numRef>
              <c:f>'2026.08.12'!$B$2:$B$22</c:f>
              <c:numCache>
                <c:formatCode>General</c:formatCode>
                <c:ptCount val="21"/>
                <c:pt idx="0">
                  <c:v>6.4000000000000001E-2</c:v>
                </c:pt>
                <c:pt idx="1">
                  <c:v>0.06</c:v>
                </c:pt>
                <c:pt idx="2">
                  <c:v>6.2E-2</c:v>
                </c:pt>
                <c:pt idx="3">
                  <c:v>0.33200000000000002</c:v>
                </c:pt>
                <c:pt idx="4">
                  <c:v>0.39400000000000002</c:v>
                </c:pt>
                <c:pt idx="5">
                  <c:v>0.39300000000000002</c:v>
                </c:pt>
                <c:pt idx="6">
                  <c:v>0.48699999999999999</c:v>
                </c:pt>
                <c:pt idx="7">
                  <c:v>0.52</c:v>
                </c:pt>
                <c:pt idx="8">
                  <c:v>0.51300000000000001</c:v>
                </c:pt>
                <c:pt idx="9">
                  <c:v>0.58099999999999996</c:v>
                </c:pt>
                <c:pt idx="10">
                  <c:v>0.57299999999999995</c:v>
                </c:pt>
                <c:pt idx="11">
                  <c:v>0.59299999999999997</c:v>
                </c:pt>
                <c:pt idx="12">
                  <c:v>0.61699999999999999</c:v>
                </c:pt>
                <c:pt idx="13">
                  <c:v>0.60199999999999998</c:v>
                </c:pt>
                <c:pt idx="14">
                  <c:v>0.61</c:v>
                </c:pt>
                <c:pt idx="15">
                  <c:v>0.60899999999999999</c:v>
                </c:pt>
                <c:pt idx="16">
                  <c:v>0.57199999999999995</c:v>
                </c:pt>
                <c:pt idx="17">
                  <c:v>0.53400000000000003</c:v>
                </c:pt>
                <c:pt idx="18">
                  <c:v>0.58499999999999996</c:v>
                </c:pt>
                <c:pt idx="19">
                  <c:v>0.58199999999999996</c:v>
                </c:pt>
                <c:pt idx="20">
                  <c:v>0.58399999999999996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D-4865-9AD1-D4615E7F4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570160"/>
        <c:axId val="687136656"/>
      </c:scatterChart>
      <c:valAx>
        <c:axId val="17985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136656"/>
        <c:crosses val="autoZero"/>
        <c:crossBetween val="midCat"/>
      </c:valAx>
      <c:valAx>
        <c:axId val="68713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857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'2026.08.12'!$A$11:$A$22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xVal>
          <c:yVal>
            <c:numRef>
              <c:f>'2026.08.12'!$F$11:$F$22</c:f>
              <c:numCache>
                <c:formatCode>General</c:formatCode>
                <c:ptCount val="12"/>
                <c:pt idx="0">
                  <c:v>4.0762501632066852E-5</c:v>
                </c:pt>
                <c:pt idx="3">
                  <c:v>2.1451886669277973E-5</c:v>
                </c:pt>
                <c:pt idx="6">
                  <c:v>9.9817208512860701E-6</c:v>
                </c:pt>
                <c:pt idx="9">
                  <c:v>6.8111589850720307E-6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A-49A0-9098-DBAB21EF7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672208"/>
        <c:axId val="687134256"/>
      </c:scatterChart>
      <c:valAx>
        <c:axId val="18086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134256"/>
        <c:crosses val="autoZero"/>
        <c:crossBetween val="midCat"/>
      </c:valAx>
      <c:valAx>
        <c:axId val="68713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0867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60960</xdr:rowOff>
    </xdr:from>
    <xdr:to>
      <xdr:col>12</xdr:col>
      <xdr:colOff>38100</xdr:colOff>
      <xdr:row>32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F3A0A-F7ED-401E-ABB7-B39F22FA3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</xdr:colOff>
      <xdr:row>0</xdr:row>
      <xdr:rowOff>57150</xdr:rowOff>
    </xdr:from>
    <xdr:to>
      <xdr:col>17</xdr:col>
      <xdr:colOff>662940</xdr:colOff>
      <xdr:row>32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A6AE64-5FFC-47B6-A658-57C369143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8EC2-00B4-4865-92CC-412DAAC75D5C}">
  <dimension ref="A1:F30"/>
  <sheetViews>
    <sheetView tabSelected="1" workbookViewId="0">
      <selection activeCell="B19" sqref="B19"/>
    </sheetView>
  </sheetViews>
  <sheetFormatPr baseColWidth="10" defaultRowHeight="14.4" x14ac:dyDescent="0.3"/>
  <cols>
    <col min="1" max="1" width="17.5546875" bestFit="1" customWidth="1"/>
    <col min="2" max="2" width="10.77734375" bestFit="1" customWidth="1"/>
    <col min="3" max="3" width="14.33203125" bestFit="1" customWidth="1"/>
    <col min="4" max="4" width="7.21875" customWidth="1"/>
    <col min="6" max="6" width="9.21875" customWidth="1"/>
  </cols>
  <sheetData>
    <row r="1" spans="1:6" x14ac:dyDescent="0.3">
      <c r="A1" s="4" t="s">
        <v>0</v>
      </c>
      <c r="B1" s="4" t="s">
        <v>3</v>
      </c>
      <c r="C1" s="4" t="s">
        <v>1</v>
      </c>
      <c r="D1" s="4" t="s">
        <v>2</v>
      </c>
      <c r="E1" s="4" t="s">
        <v>13</v>
      </c>
      <c r="F1" s="6" t="s">
        <v>15</v>
      </c>
    </row>
    <row r="2" spans="1:6" x14ac:dyDescent="0.3">
      <c r="A2" s="1">
        <v>0</v>
      </c>
      <c r="B2">
        <v>6.4000000000000001E-2</v>
      </c>
      <c r="C2" s="3">
        <f>AVERAGE(B2:B4)</f>
        <v>6.2E-2</v>
      </c>
      <c r="D2">
        <f>STDEVA(B2:B4)</f>
        <v>2.0000000000000018E-3</v>
      </c>
      <c r="E2" s="8">
        <f>(C2*$B$24*$B$26)/($B$27*$B$28*$B$25)</f>
        <v>2.7927927927927932E-5</v>
      </c>
      <c r="F2" t="e">
        <f>E2/($B$30*A2)</f>
        <v>#DIV/0!</v>
      </c>
    </row>
    <row r="3" spans="1:6" x14ac:dyDescent="0.3">
      <c r="A3" s="1">
        <v>0</v>
      </c>
      <c r="B3">
        <v>0.06</v>
      </c>
      <c r="C3" s="3"/>
    </row>
    <row r="4" spans="1:6" x14ac:dyDescent="0.3">
      <c r="A4" s="5">
        <v>0</v>
      </c>
      <c r="B4" s="6">
        <v>6.2E-2</v>
      </c>
      <c r="C4" s="7"/>
      <c r="D4" s="6"/>
      <c r="E4" s="6"/>
      <c r="F4" s="6"/>
    </row>
    <row r="5" spans="1:6" x14ac:dyDescent="0.3">
      <c r="A5" s="1">
        <v>1</v>
      </c>
      <c r="B5">
        <v>0.33200000000000002</v>
      </c>
      <c r="C5" s="3">
        <f>AVERAGE(B5:B7)</f>
        <v>0.373</v>
      </c>
      <c r="D5">
        <f>STDEVA(B5:B7)</f>
        <v>3.5510561809129405E-2</v>
      </c>
      <c r="E5" s="8">
        <f>(C5*$B$24*$B$26)/($B$27*$B$28*$B$25)</f>
        <v>1.6801801801801802E-4</v>
      </c>
      <c r="F5">
        <f>E5/($B$30*A5)</f>
        <v>1.4610262436349394E-4</v>
      </c>
    </row>
    <row r="6" spans="1:6" x14ac:dyDescent="0.3">
      <c r="A6" s="1">
        <v>1</v>
      </c>
      <c r="B6">
        <v>0.39400000000000002</v>
      </c>
      <c r="C6" s="3"/>
    </row>
    <row r="7" spans="1:6" x14ac:dyDescent="0.3">
      <c r="A7" s="5">
        <v>1</v>
      </c>
      <c r="B7" s="6">
        <v>0.39300000000000002</v>
      </c>
      <c r="C7" s="7"/>
      <c r="D7" s="6"/>
      <c r="E7" s="6"/>
      <c r="F7" s="6"/>
    </row>
    <row r="8" spans="1:6" x14ac:dyDescent="0.3">
      <c r="A8" s="1">
        <v>3</v>
      </c>
      <c r="B8">
        <v>0.48699999999999999</v>
      </c>
      <c r="C8" s="3">
        <f>AVERAGE(B8:B10)</f>
        <v>0.50666666666666671</v>
      </c>
      <c r="D8">
        <f>STDEVA(B8:B10)</f>
        <v>1.7387735140993316E-2</v>
      </c>
      <c r="E8" s="8">
        <f>(C8*$B$24*$B$26)/($B$27*$B$28*$B$25)</f>
        <v>2.2822822822822828E-4</v>
      </c>
      <c r="F8">
        <f>E8/($B$30*A8)</f>
        <v>6.6153109631370525E-5</v>
      </c>
    </row>
    <row r="9" spans="1:6" x14ac:dyDescent="0.3">
      <c r="A9" s="1">
        <v>3</v>
      </c>
      <c r="B9">
        <v>0.52</v>
      </c>
      <c r="C9" s="3"/>
    </row>
    <row r="10" spans="1:6" x14ac:dyDescent="0.3">
      <c r="A10" s="5">
        <v>3</v>
      </c>
      <c r="B10" s="6">
        <v>0.51300000000000001</v>
      </c>
      <c r="C10" s="7"/>
      <c r="D10" s="6"/>
      <c r="E10" s="6"/>
      <c r="F10" s="6"/>
    </row>
    <row r="11" spans="1:6" x14ac:dyDescent="0.3">
      <c r="A11" s="1">
        <v>5</v>
      </c>
      <c r="B11">
        <v>0.58099999999999996</v>
      </c>
      <c r="C11" s="3">
        <f>AVERAGE(B11:B13)</f>
        <v>0.58233333333333326</v>
      </c>
      <c r="D11">
        <f>STDEVA(B11:B13)</f>
        <v>1.0066445913694341E-2</v>
      </c>
      <c r="E11" s="8">
        <f>((C11-$C$2)*$B$24*$B$26)/($B$27*$B$28*$B$25)</f>
        <v>2.343843843843844E-4</v>
      </c>
      <c r="F11">
        <f>E11/($B$30*A11)</f>
        <v>4.0762501632066852E-5</v>
      </c>
    </row>
    <row r="12" spans="1:6" x14ac:dyDescent="0.3">
      <c r="A12" s="1">
        <v>5</v>
      </c>
      <c r="B12">
        <v>0.57299999999999995</v>
      </c>
    </row>
    <row r="13" spans="1:6" x14ac:dyDescent="0.3">
      <c r="A13" s="5">
        <v>5</v>
      </c>
      <c r="B13" s="6">
        <v>0.59299999999999997</v>
      </c>
      <c r="C13" s="6"/>
      <c r="D13" s="6"/>
      <c r="E13" s="6"/>
      <c r="F13" s="6"/>
    </row>
    <row r="14" spans="1:6" x14ac:dyDescent="0.3">
      <c r="A14" s="1">
        <v>10</v>
      </c>
      <c r="B14">
        <v>0.61699999999999999</v>
      </c>
      <c r="C14" s="3">
        <f>AVERAGE(B14:B16)</f>
        <v>0.60966666666666658</v>
      </c>
      <c r="D14">
        <f>STDEVA(B14:B16)</f>
        <v>7.5055534994651419E-3</v>
      </c>
      <c r="E14" s="8">
        <f>((C14-$C$2)*$B$24*$B$26)/($B$27*$B$28*$B$25)</f>
        <v>2.4669669669669667E-4</v>
      </c>
      <c r="F14">
        <f>E14/($B$30*A14)</f>
        <v>2.1451886669277973E-5</v>
      </c>
    </row>
    <row r="15" spans="1:6" x14ac:dyDescent="0.3">
      <c r="A15" s="1">
        <v>10</v>
      </c>
      <c r="B15">
        <v>0.60199999999999998</v>
      </c>
    </row>
    <row r="16" spans="1:6" x14ac:dyDescent="0.3">
      <c r="A16" s="5">
        <v>10</v>
      </c>
      <c r="B16" s="6">
        <v>0.61</v>
      </c>
      <c r="C16" s="6"/>
      <c r="D16" s="6"/>
      <c r="E16" s="6"/>
      <c r="F16" s="6"/>
    </row>
    <row r="17" spans="1:6" x14ac:dyDescent="0.3">
      <c r="A17" s="1">
        <v>20</v>
      </c>
      <c r="B17">
        <v>0.60899999999999999</v>
      </c>
      <c r="C17" s="3">
        <f>AVERAGE(B17:B19)</f>
        <v>0.57166666666666666</v>
      </c>
      <c r="D17">
        <f>STDEVA(B17:B19)</f>
        <v>3.7501111094650666E-2</v>
      </c>
      <c r="E17" s="8">
        <f>((C17-$C$2)*$B$24*$B$26)/($B$27*$B$28*$B$25)</f>
        <v>2.2957957957957961E-4</v>
      </c>
      <c r="F17">
        <f>E17/($B$30*A17)</f>
        <v>9.9817208512860701E-6</v>
      </c>
    </row>
    <row r="18" spans="1:6" x14ac:dyDescent="0.3">
      <c r="A18" s="1">
        <v>20</v>
      </c>
      <c r="B18">
        <v>0.57199999999999995</v>
      </c>
      <c r="C18" s="3"/>
    </row>
    <row r="19" spans="1:6" x14ac:dyDescent="0.3">
      <c r="A19" s="5">
        <v>20</v>
      </c>
      <c r="B19" s="6">
        <v>0.53400000000000003</v>
      </c>
      <c r="C19" s="7"/>
      <c r="D19" s="6"/>
      <c r="E19" s="6"/>
      <c r="F19" s="6"/>
    </row>
    <row r="20" spans="1:6" x14ac:dyDescent="0.3">
      <c r="A20" s="1">
        <v>30</v>
      </c>
      <c r="B20">
        <v>0.58499999999999996</v>
      </c>
      <c r="C20" s="3">
        <f>AVERAGE(B20:B22)</f>
        <v>0.58366666666666667</v>
      </c>
      <c r="D20">
        <f>STDEVA(B20:B22)</f>
        <v>1.5275252316519479E-3</v>
      </c>
      <c r="E20" s="8">
        <f>((C20-$C$2)*$B$24*$B$26)/($B$27*$B$28*$B$25)</f>
        <v>2.3498498498498505E-4</v>
      </c>
      <c r="F20">
        <f>E20/($B$30*A20)</f>
        <v>6.8111589850720307E-6</v>
      </c>
    </row>
    <row r="21" spans="1:6" x14ac:dyDescent="0.3">
      <c r="A21" s="1">
        <v>30</v>
      </c>
      <c r="B21">
        <v>0.58199999999999996</v>
      </c>
    </row>
    <row r="22" spans="1:6" x14ac:dyDescent="0.3">
      <c r="A22" s="5">
        <v>30</v>
      </c>
      <c r="B22" s="6">
        <v>0.58399999999999996</v>
      </c>
      <c r="C22" s="6"/>
      <c r="D22" s="6"/>
      <c r="E22" s="6"/>
      <c r="F22" s="6"/>
    </row>
    <row r="24" spans="1:6" x14ac:dyDescent="0.3">
      <c r="A24" s="2" t="s">
        <v>4</v>
      </c>
      <c r="B24">
        <v>4.19E-2</v>
      </c>
      <c r="C24" t="s">
        <v>7</v>
      </c>
    </row>
    <row r="25" spans="1:6" x14ac:dyDescent="0.3">
      <c r="A25" s="2" t="s">
        <v>5</v>
      </c>
      <c r="B25">
        <v>4.19E-2</v>
      </c>
      <c r="C25" t="s">
        <v>7</v>
      </c>
    </row>
    <row r="26" spans="1:6" x14ac:dyDescent="0.3">
      <c r="A26" s="2" t="s">
        <v>6</v>
      </c>
      <c r="B26">
        <v>5</v>
      </c>
      <c r="C26" t="s">
        <v>7</v>
      </c>
    </row>
    <row r="27" spans="1:6" x14ac:dyDescent="0.3">
      <c r="A27" s="2" t="s">
        <v>8</v>
      </c>
      <c r="B27">
        <v>11100</v>
      </c>
      <c r="C27" t="s">
        <v>9</v>
      </c>
    </row>
    <row r="28" spans="1:6" x14ac:dyDescent="0.3">
      <c r="A28" s="2" t="s">
        <v>10</v>
      </c>
      <c r="B28">
        <v>1</v>
      </c>
      <c r="C28" t="s">
        <v>11</v>
      </c>
    </row>
    <row r="29" spans="1:6" x14ac:dyDescent="0.3">
      <c r="A29" s="2" t="s">
        <v>16</v>
      </c>
      <c r="B29" s="8">
        <v>6.0000000000000001E-3</v>
      </c>
      <c r="C29" t="s">
        <v>12</v>
      </c>
    </row>
    <row r="30" spans="1:6" x14ac:dyDescent="0.3">
      <c r="A30" s="2" t="s">
        <v>14</v>
      </c>
      <c r="B30">
        <v>1.1499999999999999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2026.08.12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Armando Poza Retamales</cp:lastModifiedBy>
  <dcterms:created xsi:type="dcterms:W3CDTF">2026-08-06T18:10:52Z</dcterms:created>
  <dcterms:modified xsi:type="dcterms:W3CDTF">2026-08-13T17:04:13Z</dcterms:modified>
</cp:coreProperties>
</file>